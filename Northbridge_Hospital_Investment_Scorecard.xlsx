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esktop\Dataverse Internship\Capstone re-done\"/>
    </mc:Choice>
  </mc:AlternateContent>
  <xr:revisionPtr revIDLastSave="0" documentId="13_ncr:1_{D1839C3F-39A7-47D0-BF92-B8433EFE545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etrics Summary" sheetId="4" r:id="rId1"/>
    <sheet name="Investment Scorecar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9" i="3" l="1"/>
  <c r="I26" i="3"/>
  <c r="H26" i="3"/>
  <c r="G26" i="3"/>
  <c r="I25" i="3"/>
  <c r="H25" i="3"/>
  <c r="G25" i="3"/>
  <c r="I24" i="3"/>
  <c r="H24" i="3"/>
  <c r="G24" i="3"/>
  <c r="I22" i="3"/>
  <c r="H22" i="3"/>
  <c r="G22" i="3"/>
  <c r="I21" i="3"/>
  <c r="H21" i="3"/>
  <c r="G21" i="3"/>
  <c r="I20" i="3"/>
  <c r="H20" i="3"/>
  <c r="G20" i="3"/>
  <c r="I18" i="3"/>
  <c r="H18" i="3"/>
  <c r="G18" i="3"/>
  <c r="I17" i="3"/>
  <c r="H17" i="3"/>
  <c r="G17" i="3"/>
  <c r="I16" i="3"/>
  <c r="H16" i="3"/>
  <c r="G16" i="3"/>
  <c r="I14" i="3"/>
  <c r="H14" i="3"/>
  <c r="G14" i="3"/>
  <c r="I13" i="3"/>
  <c r="H13" i="3"/>
  <c r="G13" i="3"/>
  <c r="I12" i="3"/>
  <c r="H12" i="3"/>
  <c r="G12" i="3"/>
  <c r="I11" i="3"/>
  <c r="H11" i="3"/>
  <c r="G11" i="3"/>
  <c r="I10" i="3"/>
  <c r="H10" i="3"/>
  <c r="G10" i="3"/>
  <c r="I9" i="3"/>
  <c r="H9" i="3"/>
  <c r="G9" i="3"/>
  <c r="I7" i="3"/>
  <c r="H7" i="3"/>
  <c r="G7" i="3"/>
  <c r="I6" i="3"/>
  <c r="F27" i="3" s="1"/>
  <c r="F30" i="3" s="1"/>
  <c r="H6" i="3"/>
  <c r="E27" i="3" s="1"/>
  <c r="E30" i="3" s="1"/>
  <c r="G6" i="3"/>
  <c r="D27" i="3" s="1"/>
  <c r="D30" i="3" s="1"/>
  <c r="I5" i="3"/>
  <c r="H5" i="3"/>
  <c r="G5" i="3"/>
</calcChain>
</file>

<file path=xl/sharedStrings.xml><?xml version="1.0" encoding="utf-8"?>
<sst xmlns="http://schemas.openxmlformats.org/spreadsheetml/2006/main" count="106" uniqueCount="103">
  <si>
    <t>GGH</t>
  </si>
  <si>
    <t>ECH</t>
  </si>
  <si>
    <t>RMC</t>
  </si>
  <si>
    <t>Weight</t>
  </si>
  <si>
    <t>NORTHBRIDGE HEALTH INVESTMENT FUND — HOSPITAL INVESTMENT SCORECARD (V2)</t>
  </si>
  <si>
    <t>Criterion</t>
  </si>
  <si>
    <t>Max Score</t>
  </si>
  <si>
    <t>GGH
Score</t>
  </si>
  <si>
    <t>ECH
Score</t>
  </si>
  <si>
    <t>RMC
Score</t>
  </si>
  <si>
    <t>GGH
Weighted</t>
  </si>
  <si>
    <t>ECH
Weighted</t>
  </si>
  <si>
    <t>RMC
Weighted</t>
  </si>
  <si>
    <t>FINANCIAL PERFORMANCE (22%)</t>
  </si>
  <si>
    <t>Total Revenue</t>
  </si>
  <si>
    <t>Collection Rate</t>
  </si>
  <si>
    <t>Revenue Leakage</t>
  </si>
  <si>
    <t>CLINICAL QUALITY (30%)</t>
  </si>
  <si>
    <t>Mortality Rate</t>
  </si>
  <si>
    <t>HAI Rate</t>
  </si>
  <si>
    <t>Readmission Rate</t>
  </si>
  <si>
    <t>Complication Rate</t>
  </si>
  <si>
    <t>Recovery Rate</t>
  </si>
  <si>
    <t>Patient Satisfaction</t>
  </si>
  <si>
    <t>CLAIMS EFFICIENCY (18%)</t>
  </si>
  <si>
    <t>Denial Rate</t>
  </si>
  <si>
    <t>Denied Revenue at Risk</t>
  </si>
  <si>
    <t>Avg Processing Days</t>
  </si>
  <si>
    <t>OPERATIONAL EFFICIENCY (18%)</t>
  </si>
  <si>
    <t>Avg ED Wait Time</t>
  </si>
  <si>
    <t>Encounters per Bed/Yr</t>
  </si>
  <si>
    <t>Avg LOS</t>
  </si>
  <si>
    <t>GROWTH AND SCALABILITY (12%)</t>
  </si>
  <si>
    <t>Revenue YoY Growth</t>
  </si>
  <si>
    <t>Encounter Volume YoY Growth</t>
  </si>
  <si>
    <t>Capacity Headroom (Scalability)</t>
  </si>
  <si>
    <t>WEIGHTED TOTAL SCORE (out of 10)</t>
  </si>
  <si>
    <t>Weight check (should total 100%)</t>
  </si>
  <si>
    <t>Rank (1 = highest score)</t>
  </si>
  <si>
    <t>Metric</t>
  </si>
  <si>
    <t>Notes</t>
  </si>
  <si>
    <t>PROFILE</t>
  </si>
  <si>
    <t>Total Encounters (2022-2023)</t>
  </si>
  <si>
    <t>Volume of patient encounters in dataset</t>
  </si>
  <si>
    <t>Licensed Beds</t>
  </si>
  <si>
    <t>Facility capacity</t>
  </si>
  <si>
    <t>FINANCIAL PERFORMANCE</t>
  </si>
  <si>
    <t>Avg Revenue per Encounter ($)</t>
  </si>
  <si>
    <t>Total paid_amount / encounters; higher is stronger</t>
  </si>
  <si>
    <t>Collection Rate (%)</t>
  </si>
  <si>
    <t>Total paid / total billed</t>
  </si>
  <si>
    <t>Revenue Leakage (%)</t>
  </si>
  <si>
    <t>1 - Collection Rate; lower is stronger</t>
  </si>
  <si>
    <t>Total Billed ($)</t>
  </si>
  <si>
    <t>Two-year gross billed revenue</t>
  </si>
  <si>
    <t>Total Paid ($)</t>
  </si>
  <si>
    <t>Two-year net cash collected</t>
  </si>
  <si>
    <t>CLINICAL QUALITY</t>
  </si>
  <si>
    <t>Mortality Rate (%)</t>
  </si>
  <si>
    <t>Share of encounters ending in death; lower is stronger</t>
  </si>
  <si>
    <t>Hospital-Acquired Infection Rate (%)</t>
  </si>
  <si>
    <t>Lower is stronger</t>
  </si>
  <si>
    <t>Readmission Rate (%)</t>
  </si>
  <si>
    <t>Complication Rate (%)</t>
  </si>
  <si>
    <t>Recovery Rate (%)</t>
  </si>
  <si>
    <t>Share of encounters ending in 'Recovered'; higher is stronger</t>
  </si>
  <si>
    <t>Avg Patient Satisfaction (0-10)</t>
  </si>
  <si>
    <t>Higher is stronger</t>
  </si>
  <si>
    <t>CLAIMS EFFICIENCY</t>
  </si>
  <si>
    <t>Denial Rate (%)</t>
  </si>
  <si>
    <t>Share of claims marked Denied; lower is stronger</t>
  </si>
  <si>
    <t>Denied Revenue at Risk ($)</t>
  </si>
  <si>
    <t>Billed value of denied claims; lower is stronger</t>
  </si>
  <si>
    <t>Avg Claim Processing Days</t>
  </si>
  <si>
    <t>Submission to adjudication; lower is stronger</t>
  </si>
  <si>
    <t>OPERATIONAL EFFICIENCY</t>
  </si>
  <si>
    <t>Avg ED Wait Time (minutes)</t>
  </si>
  <si>
    <t>ED arrival to provider seen; lower is stronger</t>
  </si>
  <si>
    <t>Encounters per Bed per Year</t>
  </si>
  <si>
    <t>Throughput per licensed bed; higher = more utilised, see Capacity Headroom below</t>
  </si>
  <si>
    <t>Avg Length of Stay (days)</t>
  </si>
  <si>
    <t>Lower is generally stronger (efficiency)</t>
  </si>
  <si>
    <t>Revenue YoY Growth (%)</t>
  </si>
  <si>
    <t>2022-&gt;2023 change; scored per hospital, not flattened</t>
  </si>
  <si>
    <t>Encounter Volume YoY Growth (%)</t>
  </si>
  <si>
    <t>Capacity Headroom (inverse of Enc/Bed/Yr)</t>
  </si>
  <si>
    <t>Healthy (6.43 enc/bed)</t>
  </si>
  <si>
    <t>Minimal (9.21 - near max)</t>
  </si>
  <si>
    <t>High (3.96 - underused)</t>
  </si>
  <si>
    <t>GGH has room to scale; ECH is near capacity; RMC's headroom reflects underuse, not demand</t>
  </si>
  <si>
    <t>$4.1M</t>
  </si>
  <si>
    <t>$2.64M</t>
  </si>
  <si>
    <t>$1.75M</t>
  </si>
  <si>
    <t>$9.00M</t>
  </si>
  <si>
    <t>$7.97M</t>
  </si>
  <si>
    <t>$2.32M</t>
  </si>
  <si>
    <t>$4.07M</t>
  </si>
  <si>
    <t>$11.64M</t>
  </si>
  <si>
    <r>
      <rPr>
        <u/>
        <sz val="10"/>
        <rFont val="Arial"/>
        <family val="2"/>
      </rPr>
      <t>$</t>
    </r>
    <r>
      <rPr>
        <sz val="10"/>
        <rFont val="Arial"/>
        <charset val="1"/>
      </rPr>
      <t>6.63M</t>
    </r>
  </si>
  <si>
    <t>GROWTH &amp; SCALABILITY</t>
  </si>
  <si>
    <t xml:space="preserve">Weighted Score = Weight x Score (0-10 scale, 10 = strongest). </t>
  </si>
  <si>
    <t xml:space="preserve">  </t>
  </si>
  <si>
    <t xml:space="preserve">UNDERLYING KPI METRICS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</si>
</sst>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0.0"/>
  </numFmts>
  <fonts count="1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10.5"/>
      <color rgb="FFFFFFFF"/>
      <name val="Arial"/>
      <charset val="1"/>
    </font>
    <font>
      <b/>
      <sz val="10"/>
      <name val="Arial"/>
      <charset val="1"/>
    </font>
    <font>
      <b/>
      <sz val="13"/>
      <color rgb="FF1F4D3A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color rgb="FF999999"/>
      <name val="Arial"/>
      <charset val="1"/>
    </font>
    <font>
      <b/>
      <sz val="10"/>
      <color rgb="FF0000FF"/>
      <name val="Arial"/>
      <charset val="1"/>
    </font>
    <font>
      <sz val="10"/>
      <name val="Arial"/>
      <charset val="1"/>
    </font>
    <font>
      <i/>
      <sz val="9"/>
      <color rgb="FF777777"/>
      <name val="Arial"/>
      <charset val="1"/>
    </font>
    <font>
      <u/>
      <sz val="1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D3A"/>
        <bgColor rgb="FF1F3A5F"/>
      </patternFill>
    </fill>
    <fill>
      <patternFill patternType="solid">
        <fgColor rgb="FF9A7B2E"/>
        <bgColor rgb="FF777777"/>
      </patternFill>
    </fill>
    <fill>
      <patternFill patternType="solid">
        <fgColor rgb="FF333333"/>
        <bgColor rgb="FF1F3A5F"/>
      </patternFill>
    </fill>
    <fill>
      <patternFill patternType="solid">
        <fgColor rgb="FF1C7C72"/>
        <bgColor rgb="FF008080"/>
      </patternFill>
    </fill>
    <fill>
      <patternFill patternType="solid">
        <fgColor rgb="FF1F3A5F"/>
        <bgColor rgb="FF333333"/>
      </patternFill>
    </fill>
    <fill>
      <patternFill patternType="solid">
        <fgColor rgb="FF555555"/>
        <bgColor rgb="FF6E6E6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0" fontId="3" fillId="3" borderId="1" xfId="0" applyFont="1" applyFill="1" applyBorder="1"/>
    <xf numFmtId="0" fontId="3" fillId="7" borderId="1" xfId="0" applyFont="1" applyFill="1" applyBorder="1"/>
    <xf numFmtId="0" fontId="3" fillId="6" borderId="1" xfId="0" applyFont="1" applyFill="1" applyBorder="1"/>
    <xf numFmtId="0" fontId="3" fillId="5" borderId="1" xfId="0" applyFont="1" applyFill="1" applyBorder="1"/>
    <xf numFmtId="0" fontId="3" fillId="2" borderId="1" xfId="0" applyFont="1" applyFill="1" applyBorder="1"/>
    <xf numFmtId="0" fontId="6" fillId="0" borderId="0" xfId="0" applyFont="1"/>
    <xf numFmtId="0" fontId="5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indent="1"/>
    </xf>
    <xf numFmtId="9" fontId="8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0" fillId="2" borderId="1" xfId="0" applyFill="1" applyBorder="1"/>
    <xf numFmtId="0" fontId="12" fillId="0" borderId="0" xfId="0" applyFont="1"/>
    <xf numFmtId="9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indent="1"/>
    </xf>
    <xf numFmtId="3" fontId="11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164" fontId="11" fillId="0" borderId="1" xfId="0" applyNumberFormat="1" applyFont="1" applyBorder="1" applyAlignment="1">
      <alignment horizontal="center"/>
    </xf>
    <xf numFmtId="165" fontId="11" fillId="0" borderId="1" xfId="0" applyNumberFormat="1" applyFont="1" applyBorder="1" applyAlignment="1">
      <alignment horizontal="center"/>
    </xf>
    <xf numFmtId="10" fontId="11" fillId="0" borderId="1" xfId="0" applyNumberFormat="1" applyFont="1" applyBorder="1" applyAlignment="1">
      <alignment horizontal="center"/>
    </xf>
    <xf numFmtId="166" fontId="11" fillId="0" borderId="1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6" fillId="0" borderId="0" xfId="0" applyFont="1" applyAlignment="1">
      <alignment wrapText="1"/>
    </xf>
    <xf numFmtId="0" fontId="3" fillId="4" borderId="1" xfId="0" applyFont="1" applyFill="1" applyBorder="1"/>
    <xf numFmtId="164" fontId="1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7B2E"/>
      <rgbColor rgb="FF800080"/>
      <rgbColor rgb="FF1C7C72"/>
      <rgbColor rgb="FFBFBFBF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999999"/>
      <rgbColor rgb="FF1F3A5F"/>
      <rgbColor rgb="FF339966"/>
      <rgbColor rgb="FF003300"/>
      <rgbColor rgb="FF1F4D3A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32"/>
  <sheetViews>
    <sheetView showGridLines="0" tabSelected="1" zoomScaleNormal="100" workbookViewId="0">
      <pane xSplit="1" ySplit="3" topLeftCell="B22" activePane="bottomRight" state="frozen"/>
      <selection pane="topRight" activeCell="B1" sqref="B1"/>
      <selection pane="bottomLeft" activeCell="A4" sqref="A4"/>
      <selection pane="bottomRight" sqref="A1:E1"/>
    </sheetView>
  </sheetViews>
  <sheetFormatPr defaultColWidth="8.6640625" defaultRowHeight="14.4" x14ac:dyDescent="0.3"/>
  <cols>
    <col min="1" max="1" width="32" customWidth="1"/>
    <col min="2" max="4" width="16" customWidth="1"/>
    <col min="5" max="5" width="46" customWidth="1"/>
  </cols>
  <sheetData>
    <row r="1" spans="1:5" ht="16.8" x14ac:dyDescent="0.3">
      <c r="A1" s="8" t="s">
        <v>102</v>
      </c>
      <c r="B1" s="8"/>
      <c r="C1" s="8"/>
      <c r="D1" s="8"/>
      <c r="E1" s="8"/>
    </row>
    <row r="2" spans="1:5" ht="27.75" customHeight="1" x14ac:dyDescent="0.3">
      <c r="A2" s="29" t="s">
        <v>101</v>
      </c>
      <c r="B2" s="29"/>
      <c r="C2" s="29"/>
      <c r="D2" s="29"/>
      <c r="E2" s="29"/>
    </row>
    <row r="4" spans="1:5" ht="19.5" customHeight="1" x14ac:dyDescent="0.3">
      <c r="A4" s="20" t="s">
        <v>39</v>
      </c>
      <c r="B4" s="20" t="s">
        <v>0</v>
      </c>
      <c r="C4" s="20" t="s">
        <v>1</v>
      </c>
      <c r="D4" s="20" t="s">
        <v>2</v>
      </c>
      <c r="E4" s="20" t="s">
        <v>40</v>
      </c>
    </row>
    <row r="5" spans="1:5" ht="18" customHeight="1" x14ac:dyDescent="0.3">
      <c r="A5" s="30" t="s">
        <v>41</v>
      </c>
      <c r="B5" s="30"/>
      <c r="C5" s="30"/>
      <c r="D5" s="30"/>
      <c r="E5" s="30"/>
    </row>
    <row r="6" spans="1:5" ht="25.5" customHeight="1" x14ac:dyDescent="0.3">
      <c r="A6" s="21" t="s">
        <v>42</v>
      </c>
      <c r="B6" s="22">
        <v>3600</v>
      </c>
      <c r="C6" s="22">
        <v>3500</v>
      </c>
      <c r="D6" s="22">
        <v>3800</v>
      </c>
      <c r="E6" s="23" t="s">
        <v>43</v>
      </c>
    </row>
    <row r="7" spans="1:5" ht="25.5" customHeight="1" x14ac:dyDescent="0.3">
      <c r="A7" s="21" t="s">
        <v>44</v>
      </c>
      <c r="B7" s="22">
        <v>280</v>
      </c>
      <c r="C7" s="22">
        <v>190</v>
      </c>
      <c r="D7" s="22">
        <v>480</v>
      </c>
      <c r="E7" s="23" t="s">
        <v>45</v>
      </c>
    </row>
    <row r="8" spans="1:5" ht="18" customHeight="1" x14ac:dyDescent="0.3">
      <c r="A8" s="6" t="s">
        <v>46</v>
      </c>
      <c r="B8" s="6"/>
      <c r="C8" s="6"/>
      <c r="D8" s="6"/>
      <c r="E8" s="6"/>
    </row>
    <row r="9" spans="1:5" ht="25.5" customHeight="1" x14ac:dyDescent="0.3">
      <c r="A9" s="21" t="s">
        <v>47</v>
      </c>
      <c r="B9" s="24">
        <v>644.49</v>
      </c>
      <c r="C9" s="24">
        <v>1163.48</v>
      </c>
      <c r="D9" s="24">
        <v>1743.54</v>
      </c>
      <c r="E9" s="23" t="s">
        <v>48</v>
      </c>
    </row>
    <row r="10" spans="1:5" ht="25.5" customHeight="1" x14ac:dyDescent="0.3">
      <c r="A10" s="21" t="s">
        <v>49</v>
      </c>
      <c r="B10" s="25">
        <v>0.29099999999999998</v>
      </c>
      <c r="C10" s="25">
        <v>0.45269999999999999</v>
      </c>
      <c r="D10" s="25">
        <v>0.56930000000000003</v>
      </c>
      <c r="E10" s="23" t="s">
        <v>50</v>
      </c>
    </row>
    <row r="11" spans="1:5" ht="25.5" customHeight="1" x14ac:dyDescent="0.3">
      <c r="A11" s="21" t="s">
        <v>51</v>
      </c>
      <c r="B11" s="25" t="s">
        <v>90</v>
      </c>
      <c r="C11" s="25" t="s">
        <v>91</v>
      </c>
      <c r="D11" s="25" t="s">
        <v>92</v>
      </c>
      <c r="E11" s="23" t="s">
        <v>52</v>
      </c>
    </row>
    <row r="12" spans="1:5" ht="25.5" customHeight="1" x14ac:dyDescent="0.3">
      <c r="A12" s="21" t="s">
        <v>53</v>
      </c>
      <c r="B12" s="24" t="s">
        <v>94</v>
      </c>
      <c r="C12" s="24" t="s">
        <v>93</v>
      </c>
      <c r="D12" s="24" t="s">
        <v>97</v>
      </c>
      <c r="E12" s="23" t="s">
        <v>54</v>
      </c>
    </row>
    <row r="13" spans="1:5" ht="25.5" customHeight="1" x14ac:dyDescent="0.3">
      <c r="A13" s="21" t="s">
        <v>55</v>
      </c>
      <c r="B13" s="24" t="s">
        <v>95</v>
      </c>
      <c r="C13" s="24" t="s">
        <v>96</v>
      </c>
      <c r="D13" s="31" t="s">
        <v>98</v>
      </c>
      <c r="E13" s="23" t="s">
        <v>56</v>
      </c>
    </row>
    <row r="14" spans="1:5" ht="18" customHeight="1" x14ac:dyDescent="0.3">
      <c r="A14" s="5" t="s">
        <v>57</v>
      </c>
      <c r="B14" s="5"/>
      <c r="C14" s="5"/>
      <c r="D14" s="5"/>
      <c r="E14" s="5"/>
    </row>
    <row r="15" spans="1:5" ht="25.5" customHeight="1" x14ac:dyDescent="0.3">
      <c r="A15" s="21" t="s">
        <v>58</v>
      </c>
      <c r="B15" s="26">
        <v>2.64E-2</v>
      </c>
      <c r="C15" s="26">
        <v>4.3700000000000003E-2</v>
      </c>
      <c r="D15" s="26">
        <v>6.1600000000000002E-2</v>
      </c>
      <c r="E15" s="23" t="s">
        <v>59</v>
      </c>
    </row>
    <row r="16" spans="1:5" ht="25.5" customHeight="1" x14ac:dyDescent="0.3">
      <c r="A16" s="21" t="s">
        <v>60</v>
      </c>
      <c r="B16" s="26">
        <v>3.5799999999999998E-2</v>
      </c>
      <c r="C16" s="26">
        <v>4.2900000000000001E-2</v>
      </c>
      <c r="D16" s="26">
        <v>5.5800000000000002E-2</v>
      </c>
      <c r="E16" s="23" t="s">
        <v>61</v>
      </c>
    </row>
    <row r="17" spans="1:5" ht="25.5" customHeight="1" x14ac:dyDescent="0.3">
      <c r="A17" s="21" t="s">
        <v>62</v>
      </c>
      <c r="B17" s="26">
        <v>9.3899999999999997E-2</v>
      </c>
      <c r="C17" s="26">
        <v>0.1411</v>
      </c>
      <c r="D17" s="26">
        <v>0.1966</v>
      </c>
      <c r="E17" s="23" t="s">
        <v>61</v>
      </c>
    </row>
    <row r="18" spans="1:5" ht="25.5" customHeight="1" x14ac:dyDescent="0.3">
      <c r="A18" s="21" t="s">
        <v>63</v>
      </c>
      <c r="B18" s="26">
        <v>0.1089</v>
      </c>
      <c r="C18" s="26">
        <v>0.126</v>
      </c>
      <c r="D18" s="26">
        <v>0.1782</v>
      </c>
      <c r="E18" s="23" t="s">
        <v>61</v>
      </c>
    </row>
    <row r="19" spans="1:5" ht="25.5" customHeight="1" x14ac:dyDescent="0.3">
      <c r="A19" s="21" t="s">
        <v>64</v>
      </c>
      <c r="B19" s="26">
        <v>0.87970000000000004</v>
      </c>
      <c r="C19" s="26">
        <v>0.81510000000000005</v>
      </c>
      <c r="D19" s="26">
        <v>0.74180000000000001</v>
      </c>
      <c r="E19" s="23" t="s">
        <v>65</v>
      </c>
    </row>
    <row r="20" spans="1:5" ht="25.5" customHeight="1" x14ac:dyDescent="0.3">
      <c r="A20" s="21" t="s">
        <v>66</v>
      </c>
      <c r="B20" s="14">
        <v>7.68</v>
      </c>
      <c r="C20" s="14">
        <v>6.92</v>
      </c>
      <c r="D20" s="14">
        <v>5.53</v>
      </c>
      <c r="E20" s="23" t="s">
        <v>67</v>
      </c>
    </row>
    <row r="21" spans="1:5" ht="18" customHeight="1" x14ac:dyDescent="0.3">
      <c r="A21" s="4" t="s">
        <v>68</v>
      </c>
      <c r="B21" s="4"/>
      <c r="C21" s="4"/>
      <c r="D21" s="4"/>
      <c r="E21" s="4"/>
    </row>
    <row r="22" spans="1:5" ht="25.5" customHeight="1" x14ac:dyDescent="0.3">
      <c r="A22" s="21" t="s">
        <v>69</v>
      </c>
      <c r="B22" s="26">
        <v>0.50580000000000003</v>
      </c>
      <c r="C22" s="26">
        <v>0.28770000000000001</v>
      </c>
      <c r="D22" s="26">
        <v>0.14549999999999999</v>
      </c>
      <c r="E22" s="23" t="s">
        <v>70</v>
      </c>
    </row>
    <row r="23" spans="1:5" ht="25.5" customHeight="1" x14ac:dyDescent="0.3">
      <c r="A23" s="21" t="s">
        <v>71</v>
      </c>
      <c r="B23" s="24">
        <v>4062012.02</v>
      </c>
      <c r="C23" s="24">
        <v>2641044.02</v>
      </c>
      <c r="D23" s="24">
        <v>1745074.99</v>
      </c>
      <c r="E23" s="23" t="s">
        <v>72</v>
      </c>
    </row>
    <row r="24" spans="1:5" ht="25.5" customHeight="1" x14ac:dyDescent="0.3">
      <c r="A24" s="21" t="s">
        <v>73</v>
      </c>
      <c r="B24" s="27">
        <v>28.46</v>
      </c>
      <c r="C24" s="27">
        <v>28.88</v>
      </c>
      <c r="D24" s="27">
        <v>29.45</v>
      </c>
      <c r="E24" s="23" t="s">
        <v>74</v>
      </c>
    </row>
    <row r="25" spans="1:5" ht="18" customHeight="1" x14ac:dyDescent="0.3">
      <c r="A25" s="3" t="s">
        <v>75</v>
      </c>
      <c r="B25" s="3"/>
      <c r="C25" s="3"/>
      <c r="D25" s="3"/>
      <c r="E25" s="3"/>
    </row>
    <row r="26" spans="1:5" ht="25.5" customHeight="1" x14ac:dyDescent="0.3">
      <c r="A26" s="21" t="s">
        <v>76</v>
      </c>
      <c r="B26" s="27">
        <v>33.5</v>
      </c>
      <c r="C26" s="27">
        <v>45.95</v>
      </c>
      <c r="D26" s="27">
        <v>61.11</v>
      </c>
      <c r="E26" s="23" t="s">
        <v>77</v>
      </c>
    </row>
    <row r="27" spans="1:5" ht="25.5" customHeight="1" x14ac:dyDescent="0.3">
      <c r="A27" s="21" t="s">
        <v>78</v>
      </c>
      <c r="B27" s="14">
        <v>6.43</v>
      </c>
      <c r="C27" s="14">
        <v>9.2100000000000009</v>
      </c>
      <c r="D27" s="14">
        <v>3.96</v>
      </c>
      <c r="E27" s="23" t="s">
        <v>79</v>
      </c>
    </row>
    <row r="28" spans="1:5" ht="25.5" customHeight="1" x14ac:dyDescent="0.3">
      <c r="A28" s="21" t="s">
        <v>80</v>
      </c>
      <c r="B28" s="14">
        <v>3.18</v>
      </c>
      <c r="C28" s="14">
        <v>3.79</v>
      </c>
      <c r="D28" s="14">
        <v>5.03</v>
      </c>
      <c r="E28" s="23" t="s">
        <v>81</v>
      </c>
    </row>
    <row r="29" spans="1:5" ht="18" customHeight="1" x14ac:dyDescent="0.3">
      <c r="A29" s="2" t="s">
        <v>99</v>
      </c>
      <c r="B29" s="2"/>
      <c r="C29" s="2"/>
      <c r="D29" s="2"/>
      <c r="E29" s="2"/>
    </row>
    <row r="30" spans="1:5" ht="25.5" customHeight="1" x14ac:dyDescent="0.3">
      <c r="A30" s="21" t="s">
        <v>82</v>
      </c>
      <c r="B30" s="25">
        <v>-18.5</v>
      </c>
      <c r="C30" s="25">
        <v>5.66</v>
      </c>
      <c r="D30" s="25">
        <v>-0.24</v>
      </c>
      <c r="E30" s="23" t="s">
        <v>83</v>
      </c>
    </row>
    <row r="31" spans="1:5" ht="25.5" customHeight="1" x14ac:dyDescent="0.3">
      <c r="A31" s="21" t="s">
        <v>84</v>
      </c>
      <c r="B31" s="25">
        <v>-6.24</v>
      </c>
      <c r="C31" s="25">
        <v>-5.01</v>
      </c>
      <c r="D31" s="25">
        <v>1.59</v>
      </c>
      <c r="E31" s="23" t="s">
        <v>83</v>
      </c>
    </row>
    <row r="32" spans="1:5" ht="25.5" customHeight="1" x14ac:dyDescent="0.3">
      <c r="A32" s="21" t="s">
        <v>85</v>
      </c>
      <c r="B32" s="28" t="s">
        <v>86</v>
      </c>
      <c r="C32" s="28" t="s">
        <v>87</v>
      </c>
      <c r="D32" s="28" t="s">
        <v>88</v>
      </c>
      <c r="E32" s="23" t="s">
        <v>89</v>
      </c>
    </row>
  </sheetData>
  <mergeCells count="8">
    <mergeCell ref="A21:E21"/>
    <mergeCell ref="A25:E25"/>
    <mergeCell ref="A29:E29"/>
    <mergeCell ref="A1:E1"/>
    <mergeCell ref="A2:E2"/>
    <mergeCell ref="A5:E5"/>
    <mergeCell ref="A8:E8"/>
    <mergeCell ref="A14:E14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0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" sqref="A3"/>
    </sheetView>
  </sheetViews>
  <sheetFormatPr defaultColWidth="8.6640625" defaultRowHeight="14.4" x14ac:dyDescent="0.3"/>
  <cols>
    <col min="1" max="1" width="34" customWidth="1"/>
    <col min="2" max="2" width="10" customWidth="1"/>
    <col min="3" max="3" width="11" customWidth="1"/>
    <col min="4" max="6" width="10" customWidth="1"/>
    <col min="7" max="9" width="13" customWidth="1"/>
  </cols>
  <sheetData>
    <row r="1" spans="1:9" ht="16.8" x14ac:dyDescent="0.3">
      <c r="A1" s="8" t="s">
        <v>4</v>
      </c>
      <c r="B1" s="8"/>
      <c r="C1" s="8"/>
      <c r="D1" s="8"/>
      <c r="E1" s="8"/>
      <c r="F1" s="8"/>
      <c r="G1" s="8"/>
      <c r="H1" s="8"/>
      <c r="I1" s="8"/>
    </row>
    <row r="2" spans="1:9" x14ac:dyDescent="0.3">
      <c r="A2" s="7" t="s">
        <v>100</v>
      </c>
      <c r="B2" s="7"/>
      <c r="C2" s="7"/>
      <c r="D2" s="7"/>
      <c r="E2" s="7"/>
      <c r="F2" s="7"/>
      <c r="G2" s="7"/>
      <c r="H2" s="7"/>
      <c r="I2" s="7"/>
    </row>
    <row r="3" spans="1:9" ht="30" customHeight="1" x14ac:dyDescent="0.3">
      <c r="A3" s="9" t="s">
        <v>5</v>
      </c>
      <c r="B3" s="9" t="s">
        <v>3</v>
      </c>
      <c r="C3" s="9" t="s">
        <v>6</v>
      </c>
      <c r="D3" s="9" t="s">
        <v>7</v>
      </c>
      <c r="E3" s="9" t="s">
        <v>8</v>
      </c>
      <c r="F3" s="9" t="s">
        <v>9</v>
      </c>
      <c r="G3" s="9" t="s">
        <v>10</v>
      </c>
      <c r="H3" s="9" t="s">
        <v>11</v>
      </c>
      <c r="I3" s="9" t="s">
        <v>12</v>
      </c>
    </row>
    <row r="4" spans="1:9" ht="18" customHeight="1" x14ac:dyDescent="0.3">
      <c r="A4" s="6" t="s">
        <v>13</v>
      </c>
      <c r="B4" s="6"/>
      <c r="C4" s="6"/>
      <c r="D4" s="6"/>
      <c r="E4" s="6"/>
      <c r="F4" s="6"/>
      <c r="G4" s="6"/>
      <c r="H4" s="6"/>
      <c r="I4" s="6"/>
    </row>
    <row r="5" spans="1:9" x14ac:dyDescent="0.3">
      <c r="A5" s="10" t="s">
        <v>14</v>
      </c>
      <c r="B5" s="11">
        <v>7.0000000000000007E-2</v>
      </c>
      <c r="C5" s="12">
        <v>10</v>
      </c>
      <c r="D5" s="13">
        <v>3</v>
      </c>
      <c r="E5" s="13">
        <v>5</v>
      </c>
      <c r="F5" s="13">
        <v>8</v>
      </c>
      <c r="G5" s="14">
        <f t="shared" ref="G5:I7" si="0">$B5*D5</f>
        <v>0.21000000000000002</v>
      </c>
      <c r="H5" s="14">
        <f t="shared" si="0"/>
        <v>0.35000000000000003</v>
      </c>
      <c r="I5" s="14">
        <f t="shared" si="0"/>
        <v>0.56000000000000005</v>
      </c>
    </row>
    <row r="6" spans="1:9" x14ac:dyDescent="0.3">
      <c r="A6" s="10" t="s">
        <v>15</v>
      </c>
      <c r="B6" s="11">
        <v>0.08</v>
      </c>
      <c r="C6" s="12">
        <v>10</v>
      </c>
      <c r="D6" s="13">
        <v>4</v>
      </c>
      <c r="E6" s="13">
        <v>6</v>
      </c>
      <c r="F6" s="13">
        <v>8</v>
      </c>
      <c r="G6" s="14">
        <f t="shared" si="0"/>
        <v>0.32</v>
      </c>
      <c r="H6" s="14">
        <f t="shared" si="0"/>
        <v>0.48</v>
      </c>
      <c r="I6" s="14">
        <f t="shared" si="0"/>
        <v>0.64</v>
      </c>
    </row>
    <row r="7" spans="1:9" x14ac:dyDescent="0.3">
      <c r="A7" s="10" t="s">
        <v>16</v>
      </c>
      <c r="B7" s="11">
        <v>7.0000000000000007E-2</v>
      </c>
      <c r="C7" s="12">
        <v>10</v>
      </c>
      <c r="D7" s="13">
        <v>4</v>
      </c>
      <c r="E7" s="13">
        <v>6</v>
      </c>
      <c r="F7" s="13">
        <v>6</v>
      </c>
      <c r="G7" s="14">
        <f t="shared" si="0"/>
        <v>0.28000000000000003</v>
      </c>
      <c r="H7" s="14">
        <f t="shared" si="0"/>
        <v>0.42000000000000004</v>
      </c>
      <c r="I7" s="14">
        <f t="shared" si="0"/>
        <v>0.42000000000000004</v>
      </c>
    </row>
    <row r="8" spans="1:9" ht="18" customHeight="1" x14ac:dyDescent="0.3">
      <c r="A8" s="5" t="s">
        <v>17</v>
      </c>
      <c r="B8" s="5"/>
      <c r="C8" s="5"/>
      <c r="D8" s="5"/>
      <c r="E8" s="5"/>
      <c r="F8" s="5"/>
      <c r="G8" s="5"/>
      <c r="H8" s="5"/>
      <c r="I8" s="5"/>
    </row>
    <row r="9" spans="1:9" x14ac:dyDescent="0.3">
      <c r="A9" s="10" t="s">
        <v>18</v>
      </c>
      <c r="B9" s="11">
        <v>0.06</v>
      </c>
      <c r="C9" s="12">
        <v>10</v>
      </c>
      <c r="D9" s="13">
        <v>9</v>
      </c>
      <c r="E9" s="13">
        <v>7</v>
      </c>
      <c r="F9" s="13">
        <v>4</v>
      </c>
      <c r="G9" s="14">
        <f t="shared" ref="G9:I14" si="1">$B9*D9</f>
        <v>0.54</v>
      </c>
      <c r="H9" s="14">
        <f t="shared" si="1"/>
        <v>0.42</v>
      </c>
      <c r="I9" s="14">
        <f t="shared" si="1"/>
        <v>0.24</v>
      </c>
    </row>
    <row r="10" spans="1:9" x14ac:dyDescent="0.3">
      <c r="A10" s="10" t="s">
        <v>19</v>
      </c>
      <c r="B10" s="11">
        <v>0.05</v>
      </c>
      <c r="C10" s="12">
        <v>10</v>
      </c>
      <c r="D10" s="13">
        <v>9</v>
      </c>
      <c r="E10" s="13">
        <v>7</v>
      </c>
      <c r="F10" s="13">
        <v>5</v>
      </c>
      <c r="G10" s="14">
        <f t="shared" si="1"/>
        <v>0.45</v>
      </c>
      <c r="H10" s="14">
        <f t="shared" si="1"/>
        <v>0.35000000000000003</v>
      </c>
      <c r="I10" s="14">
        <f t="shared" si="1"/>
        <v>0.25</v>
      </c>
    </row>
    <row r="11" spans="1:9" x14ac:dyDescent="0.3">
      <c r="A11" s="10" t="s">
        <v>20</v>
      </c>
      <c r="B11" s="11">
        <v>0.05</v>
      </c>
      <c r="C11" s="12">
        <v>10</v>
      </c>
      <c r="D11" s="13">
        <v>9</v>
      </c>
      <c r="E11" s="13">
        <v>6</v>
      </c>
      <c r="F11" s="13">
        <v>3</v>
      </c>
      <c r="G11" s="14">
        <f t="shared" si="1"/>
        <v>0.45</v>
      </c>
      <c r="H11" s="14">
        <f t="shared" si="1"/>
        <v>0.30000000000000004</v>
      </c>
      <c r="I11" s="14">
        <f t="shared" si="1"/>
        <v>0.15000000000000002</v>
      </c>
    </row>
    <row r="12" spans="1:9" x14ac:dyDescent="0.3">
      <c r="A12" s="10" t="s">
        <v>21</v>
      </c>
      <c r="B12" s="11">
        <v>0.05</v>
      </c>
      <c r="C12" s="12">
        <v>10</v>
      </c>
      <c r="D12" s="13">
        <v>8</v>
      </c>
      <c r="E12" s="13">
        <v>7</v>
      </c>
      <c r="F12" s="13">
        <v>4</v>
      </c>
      <c r="G12" s="14">
        <f t="shared" si="1"/>
        <v>0.4</v>
      </c>
      <c r="H12" s="14">
        <f t="shared" si="1"/>
        <v>0.35000000000000003</v>
      </c>
      <c r="I12" s="14">
        <f t="shared" si="1"/>
        <v>0.2</v>
      </c>
    </row>
    <row r="13" spans="1:9" x14ac:dyDescent="0.3">
      <c r="A13" s="10" t="s">
        <v>22</v>
      </c>
      <c r="B13" s="11">
        <v>0.05</v>
      </c>
      <c r="C13" s="12">
        <v>10</v>
      </c>
      <c r="D13" s="13">
        <v>9</v>
      </c>
      <c r="E13" s="13">
        <v>8</v>
      </c>
      <c r="F13" s="13">
        <v>6</v>
      </c>
      <c r="G13" s="14">
        <f t="shared" si="1"/>
        <v>0.45</v>
      </c>
      <c r="H13" s="14">
        <f t="shared" si="1"/>
        <v>0.4</v>
      </c>
      <c r="I13" s="14">
        <f t="shared" si="1"/>
        <v>0.30000000000000004</v>
      </c>
    </row>
    <row r="14" spans="1:9" x14ac:dyDescent="0.3">
      <c r="A14" s="10" t="s">
        <v>23</v>
      </c>
      <c r="B14" s="11">
        <v>0.04</v>
      </c>
      <c r="C14" s="12">
        <v>10</v>
      </c>
      <c r="D14" s="13">
        <v>7</v>
      </c>
      <c r="E14" s="13">
        <v>7</v>
      </c>
      <c r="F14" s="13">
        <v>5</v>
      </c>
      <c r="G14" s="14">
        <f t="shared" si="1"/>
        <v>0.28000000000000003</v>
      </c>
      <c r="H14" s="14">
        <f t="shared" si="1"/>
        <v>0.28000000000000003</v>
      </c>
      <c r="I14" s="14">
        <f t="shared" si="1"/>
        <v>0.2</v>
      </c>
    </row>
    <row r="15" spans="1:9" ht="18" customHeight="1" x14ac:dyDescent="0.3">
      <c r="A15" s="4" t="s">
        <v>24</v>
      </c>
      <c r="B15" s="4"/>
      <c r="C15" s="4"/>
      <c r="D15" s="4"/>
      <c r="E15" s="4"/>
      <c r="F15" s="4"/>
      <c r="G15" s="4"/>
      <c r="H15" s="4"/>
      <c r="I15" s="4"/>
    </row>
    <row r="16" spans="1:9" x14ac:dyDescent="0.3">
      <c r="A16" s="10" t="s">
        <v>25</v>
      </c>
      <c r="B16" s="11">
        <v>7.0000000000000007E-2</v>
      </c>
      <c r="C16" s="12">
        <v>10</v>
      </c>
      <c r="D16" s="13">
        <v>3</v>
      </c>
      <c r="E16" s="13">
        <v>6</v>
      </c>
      <c r="F16" s="13">
        <v>9</v>
      </c>
      <c r="G16" s="14">
        <f t="shared" ref="G16:I18" si="2">$B16*D16</f>
        <v>0.21000000000000002</v>
      </c>
      <c r="H16" s="14">
        <f t="shared" si="2"/>
        <v>0.42000000000000004</v>
      </c>
      <c r="I16" s="14">
        <f t="shared" si="2"/>
        <v>0.63000000000000012</v>
      </c>
    </row>
    <row r="17" spans="1:9" x14ac:dyDescent="0.3">
      <c r="A17" s="10" t="s">
        <v>26</v>
      </c>
      <c r="B17" s="11">
        <v>0.06</v>
      </c>
      <c r="C17" s="12">
        <v>10</v>
      </c>
      <c r="D17" s="13">
        <v>3</v>
      </c>
      <c r="E17" s="13">
        <v>5</v>
      </c>
      <c r="F17" s="13">
        <v>8</v>
      </c>
      <c r="G17" s="14">
        <f t="shared" si="2"/>
        <v>0.18</v>
      </c>
      <c r="H17" s="14">
        <f t="shared" si="2"/>
        <v>0.3</v>
      </c>
      <c r="I17" s="14">
        <f t="shared" si="2"/>
        <v>0.48</v>
      </c>
    </row>
    <row r="18" spans="1:9" x14ac:dyDescent="0.3">
      <c r="A18" s="10" t="s">
        <v>27</v>
      </c>
      <c r="B18" s="11">
        <v>0.05</v>
      </c>
      <c r="C18" s="12">
        <v>10</v>
      </c>
      <c r="D18" s="13">
        <v>8</v>
      </c>
      <c r="E18" s="13">
        <v>7</v>
      </c>
      <c r="F18" s="13">
        <v>6</v>
      </c>
      <c r="G18" s="14">
        <f t="shared" si="2"/>
        <v>0.4</v>
      </c>
      <c r="H18" s="14">
        <f t="shared" si="2"/>
        <v>0.35000000000000003</v>
      </c>
      <c r="I18" s="14">
        <f t="shared" si="2"/>
        <v>0.30000000000000004</v>
      </c>
    </row>
    <row r="19" spans="1:9" ht="18" customHeight="1" x14ac:dyDescent="0.3">
      <c r="A19" s="3" t="s">
        <v>28</v>
      </c>
      <c r="B19" s="3"/>
      <c r="C19" s="3"/>
      <c r="D19" s="3"/>
      <c r="E19" s="3"/>
      <c r="F19" s="3"/>
      <c r="G19" s="3"/>
      <c r="H19" s="3"/>
      <c r="I19" s="3"/>
    </row>
    <row r="20" spans="1:9" x14ac:dyDescent="0.3">
      <c r="A20" s="10" t="s">
        <v>29</v>
      </c>
      <c r="B20" s="11">
        <v>0.06</v>
      </c>
      <c r="C20" s="12">
        <v>10</v>
      </c>
      <c r="D20" s="13">
        <v>8</v>
      </c>
      <c r="E20" s="13">
        <v>6</v>
      </c>
      <c r="F20" s="13">
        <v>4</v>
      </c>
      <c r="G20" s="14">
        <f t="shared" ref="G20:I22" si="3">$B20*D20</f>
        <v>0.48</v>
      </c>
      <c r="H20" s="14">
        <f t="shared" si="3"/>
        <v>0.36</v>
      </c>
      <c r="I20" s="14">
        <f t="shared" si="3"/>
        <v>0.24</v>
      </c>
    </row>
    <row r="21" spans="1:9" x14ac:dyDescent="0.3">
      <c r="A21" s="10" t="s">
        <v>30</v>
      </c>
      <c r="B21" s="11">
        <v>0.06</v>
      </c>
      <c r="C21" s="12">
        <v>10</v>
      </c>
      <c r="D21" s="13">
        <v>6</v>
      </c>
      <c r="E21" s="13">
        <v>9</v>
      </c>
      <c r="F21" s="13">
        <v>4</v>
      </c>
      <c r="G21" s="14">
        <f t="shared" si="3"/>
        <v>0.36</v>
      </c>
      <c r="H21" s="14">
        <f t="shared" si="3"/>
        <v>0.54</v>
      </c>
      <c r="I21" s="14">
        <f t="shared" si="3"/>
        <v>0.24</v>
      </c>
    </row>
    <row r="22" spans="1:9" x14ac:dyDescent="0.3">
      <c r="A22" s="10" t="s">
        <v>31</v>
      </c>
      <c r="B22" s="11">
        <v>0.06</v>
      </c>
      <c r="C22" s="12">
        <v>10</v>
      </c>
      <c r="D22" s="13">
        <v>8</v>
      </c>
      <c r="E22" s="13">
        <v>6</v>
      </c>
      <c r="F22" s="13">
        <v>5</v>
      </c>
      <c r="G22" s="14">
        <f t="shared" si="3"/>
        <v>0.48</v>
      </c>
      <c r="H22" s="14">
        <f t="shared" si="3"/>
        <v>0.36</v>
      </c>
      <c r="I22" s="14">
        <f t="shared" si="3"/>
        <v>0.3</v>
      </c>
    </row>
    <row r="23" spans="1:9" ht="18" customHeight="1" x14ac:dyDescent="0.3">
      <c r="A23" s="2" t="s">
        <v>32</v>
      </c>
      <c r="B23" s="2"/>
      <c r="C23" s="2"/>
      <c r="D23" s="2"/>
      <c r="E23" s="2"/>
      <c r="F23" s="2"/>
      <c r="G23" s="2"/>
      <c r="H23" s="2"/>
      <c r="I23" s="2"/>
    </row>
    <row r="24" spans="1:9" x14ac:dyDescent="0.3">
      <c r="A24" s="10" t="s">
        <v>33</v>
      </c>
      <c r="B24" s="11">
        <v>0.05</v>
      </c>
      <c r="C24" s="12">
        <v>10</v>
      </c>
      <c r="D24" s="13">
        <v>6</v>
      </c>
      <c r="E24" s="13">
        <v>6</v>
      </c>
      <c r="F24" s="13">
        <v>4</v>
      </c>
      <c r="G24" s="14">
        <f t="shared" ref="G24:I26" si="4">$B24*D24</f>
        <v>0.30000000000000004</v>
      </c>
      <c r="H24" s="14">
        <f t="shared" si="4"/>
        <v>0.30000000000000004</v>
      </c>
      <c r="I24" s="14">
        <f t="shared" si="4"/>
        <v>0.2</v>
      </c>
    </row>
    <row r="25" spans="1:9" x14ac:dyDescent="0.3">
      <c r="A25" s="10" t="s">
        <v>34</v>
      </c>
      <c r="B25" s="11">
        <v>0.04</v>
      </c>
      <c r="C25" s="12">
        <v>10</v>
      </c>
      <c r="D25" s="13">
        <v>6</v>
      </c>
      <c r="E25" s="13">
        <v>2</v>
      </c>
      <c r="F25" s="13">
        <v>7</v>
      </c>
      <c r="G25" s="14">
        <f t="shared" si="4"/>
        <v>0.24</v>
      </c>
      <c r="H25" s="14">
        <f t="shared" si="4"/>
        <v>0.08</v>
      </c>
      <c r="I25" s="14">
        <f t="shared" si="4"/>
        <v>0.28000000000000003</v>
      </c>
    </row>
    <row r="26" spans="1:9" x14ac:dyDescent="0.3">
      <c r="A26" s="10" t="s">
        <v>35</v>
      </c>
      <c r="B26" s="11">
        <v>0.03</v>
      </c>
      <c r="C26" s="12">
        <v>10</v>
      </c>
      <c r="D26" s="13">
        <v>9</v>
      </c>
      <c r="E26" s="13">
        <v>1</v>
      </c>
      <c r="F26" s="13">
        <v>10</v>
      </c>
      <c r="G26" s="14">
        <f t="shared" si="4"/>
        <v>0.27</v>
      </c>
      <c r="H26" s="14">
        <f t="shared" si="4"/>
        <v>0.03</v>
      </c>
      <c r="I26" s="14">
        <f t="shared" si="4"/>
        <v>0.3</v>
      </c>
    </row>
    <row r="27" spans="1:9" ht="21.75" customHeight="1" x14ac:dyDescent="0.3">
      <c r="A27" s="1" t="s">
        <v>36</v>
      </c>
      <c r="B27" s="1"/>
      <c r="C27" s="1"/>
      <c r="D27" s="15">
        <f>SUM(G4:G26)</f>
        <v>6.3000000000000007</v>
      </c>
      <c r="E27" s="15">
        <f>SUM(H4:H26)</f>
        <v>6.0900000000000007</v>
      </c>
      <c r="F27" s="15">
        <f>SUM(I4:I26)</f>
        <v>5.9300000000000006</v>
      </c>
      <c r="G27" s="16"/>
      <c r="H27" s="16"/>
      <c r="I27" s="16"/>
    </row>
    <row r="29" spans="1:9" x14ac:dyDescent="0.3">
      <c r="A29" s="17" t="s">
        <v>37</v>
      </c>
      <c r="B29" s="18">
        <f>SUM(B4:B26)</f>
        <v>1.0000000000000004</v>
      </c>
    </row>
    <row r="30" spans="1:9" x14ac:dyDescent="0.3">
      <c r="A30" s="17" t="s">
        <v>38</v>
      </c>
      <c r="D30" s="19">
        <f>RANK(D27,$D$27:$F$27)</f>
        <v>1</v>
      </c>
      <c r="E30" s="19">
        <f>RANK(E27,$D$27:$F$27)</f>
        <v>2</v>
      </c>
      <c r="F30" s="19">
        <f>RANK(F27,$D$27:$F$27)</f>
        <v>3</v>
      </c>
    </row>
  </sheetData>
  <mergeCells count="8">
    <mergeCell ref="A19:I19"/>
    <mergeCell ref="A23:I23"/>
    <mergeCell ref="A27:C27"/>
    <mergeCell ref="A1:I1"/>
    <mergeCell ref="A2:I2"/>
    <mergeCell ref="A4:I4"/>
    <mergeCell ref="A8:I8"/>
    <mergeCell ref="A15:I15"/>
  </mergeCells>
  <pageMargins left="0.4" right="0.4" top="0.5" bottom="0.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 Summary</vt:lpstr>
      <vt:lpstr>Investment 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Stella Obase</cp:lastModifiedBy>
  <cp:revision>0</cp:revision>
  <dcterms:created xsi:type="dcterms:W3CDTF">2026-07-22T02:58:57Z</dcterms:created>
  <dcterms:modified xsi:type="dcterms:W3CDTF">2026-07-27T09:42:41Z</dcterms:modified>
  <dc:language>en-US</dc:language>
</cp:coreProperties>
</file>